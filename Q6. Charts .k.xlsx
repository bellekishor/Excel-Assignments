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13_ncr:1_{0D41963D-7143-4048-843E-4A95C849F1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" l="1"/>
  <c r="D25" i="2"/>
  <c r="E23" i="2"/>
  <c r="F23" i="2" s="1"/>
  <c r="E22" i="2"/>
  <c r="F22" i="2" s="1"/>
  <c r="E21" i="2"/>
  <c r="F21" i="2" s="1"/>
  <c r="E20" i="2"/>
  <c r="F20" i="2" s="1"/>
  <c r="F19" i="2"/>
  <c r="E19" i="2"/>
  <c r="E18" i="2"/>
  <c r="F18" i="2" s="1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9" i="2"/>
  <c r="F9" i="2" s="1"/>
  <c r="E8" i="2"/>
  <c r="F8" i="2" s="1"/>
  <c r="E7" i="2"/>
  <c r="F7" i="2" s="1"/>
</calcChain>
</file>

<file path=xl/sharedStrings.xml><?xml version="1.0" encoding="utf-8"?>
<sst xmlns="http://schemas.openxmlformats.org/spreadsheetml/2006/main" count="11" uniqueCount="8">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</sst>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₹&quot;\ #,##0;[Red]&quot;₹&quot;\ \-#,##0"/>
    <numFmt numFmtId="164" formatCode="&quot;$&quot;#,##0_);[Red]\(&quot;$&quot;#,##0\)"/>
  </numFmts>
  <fonts count="5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1" xfId="0" applyFont="1" applyBorder="1"/>
    <xf numFmtId="164" fontId="3" fillId="0" borderId="2" xfId="0" applyNumberFormat="1" applyFont="1" applyBorder="1"/>
    <xf numFmtId="9" fontId="3" fillId="0" borderId="3" xfId="0" applyNumberFormat="1" applyFont="1" applyBorder="1"/>
    <xf numFmtId="0" fontId="3" fillId="0" borderId="3" xfId="0" applyFont="1" applyBorder="1"/>
    <xf numFmtId="4" fontId="3" fillId="0" borderId="3" xfId="0" applyNumberFormat="1" applyFont="1" applyBorder="1"/>
    <xf numFmtId="0" fontId="3" fillId="0" borderId="4" xfId="0" applyFont="1" applyBorder="1"/>
    <xf numFmtId="164" fontId="3" fillId="0" borderId="3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4" fillId="0" borderId="3" xfId="0" applyFont="1" applyBorder="1" applyAlignment="1">
      <alignment horizontal="center"/>
    </xf>
    <xf numFmtId="6" fontId="3" fillId="0" borderId="2" xfId="0" applyNumberFormat="1" applyFont="1" applyBorder="1"/>
    <xf numFmtId="6" fontId="3" fillId="0" borderId="3" xfId="0" applyNumberFormat="1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3B595"/>
      <color rgb="FFE6B8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358705161854769E-2"/>
          <c:y val="0.15782407407407409"/>
          <c:w val="0.96435546539215344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9525" cap="rnd">
              <a:solidFill>
                <a:schemeClr val="accent5">
                  <a:lumMod val="75000"/>
                </a:schemeClr>
              </a:solidFill>
              <a:round/>
            </a:ln>
            <a:effectLst>
              <a:softEdge rad="0"/>
            </a:effectLst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noFill/>
              </a:ln>
              <a:effectLst>
                <a:softEdge rad="0"/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Charts1!$D$6:$D$20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43-4B6D-A493-E42158E2C1A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22582095"/>
        <c:axId val="1722572975"/>
      </c:lineChart>
      <c:catAx>
        <c:axId val="172258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5">
                <a:alpha val="92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572975"/>
        <c:crosses val="autoZero"/>
        <c:auto val="1"/>
        <c:lblAlgn val="ctr"/>
        <c:lblOffset val="100"/>
        <c:tickLblSkip val="2"/>
        <c:tickMarkSkip val="3"/>
        <c:noMultiLvlLbl val="0"/>
      </c:catAx>
      <c:valAx>
        <c:axId val="1722572975"/>
        <c:scaling>
          <c:orientation val="minMax"/>
        </c:scaling>
        <c:delete val="1"/>
        <c:axPos val="r"/>
        <c:numFmt formatCode="&quot;₹&quot;#,##0_);[Red]\(&quot;₹&quot;#,##0\)" sourceLinked="1"/>
        <c:majorTickMark val="out"/>
        <c:minorTickMark val="none"/>
        <c:tickLblPos val="nextTo"/>
        <c:crossAx val="172258209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4697310811187"/>
          <c:y val="0.18097222222222226"/>
          <c:w val="0.87596266952259472"/>
          <c:h val="0.6149843248760571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Charts2!$D$5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762-438A-903B-7D30276F5BD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762-438A-903B-7D30276F5BD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762-438A-903B-7D30276F5BD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762-438A-903B-7D30276F5BD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762-438A-903B-7D30276F5BD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762-438A-903B-7D30276F5BD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762-438A-903B-7D30276F5BD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762-438A-903B-7D30276F5BD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762-438A-903B-7D30276F5BD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62-438A-903B-7D30276F5BD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762-438A-903B-7D30276F5BD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62-438A-903B-7D30276F5BD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762-438A-903B-7D30276F5BD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62-438A-903B-7D30276F5BD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62-438A-903B-7D30276F5BD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62-438A-903B-7D30276F5B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2-438A-903B-7D30276F5B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81415968"/>
        <c:axId val="17814337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Charts2!$C$5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solidFill>
                    <a:schemeClr val="accent1">
                      <a:shade val="5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Charts2!$C$6:$C$23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Charts2!$C$6:$C$23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762-438A-903B-7D30276F5BD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Charts2!$F$5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1">
                  <a:tint val="58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tint val="58000"/>
                </a:schemeClr>
              </a:solidFill>
              <a:ln w="9525">
                <a:solidFill>
                  <a:schemeClr val="accent1">
                    <a:tint val="58000"/>
                  </a:schemeClr>
                </a:solidFill>
              </a:ln>
              <a:effectLst/>
            </c:spPr>
          </c:marker>
          <c:dPt>
            <c:idx val="17"/>
            <c:marker>
              <c:symbol val="square"/>
              <c:size val="7"/>
              <c:spPr>
                <a:solidFill>
                  <a:schemeClr val="accent1">
                    <a:tint val="58000"/>
                  </a:schemeClr>
                </a:solidFill>
                <a:ln w="9525">
                  <a:solidFill>
                    <a:schemeClr val="accent1">
                      <a:tint val="58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1762-438A-903B-7D30276F5B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Charts2!$F$6:$F$23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62-438A-903B-7D30276F5B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81414528"/>
        <c:axId val="178142940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Charts2!$E$5</c15:sqref>
                        </c15:formulaRef>
                      </c:ext>
                    </c:extLst>
                    <c:strCache>
                      <c:ptCount val="1"/>
                      <c:pt idx="0">
                        <c:v>Running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tint val="8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Charts2!$C$6:$C$23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Charts2!$E$6:$E$23</c15:sqref>
                        </c15:formulaRef>
                      </c:ext>
                    </c:extLst>
                    <c:numCache>
                      <c:formatCode>#,##0.00</c:formatCode>
                      <c:ptCount val="18"/>
                      <c:pt idx="1">
                        <c:v>5078</c:v>
                      </c:pt>
                      <c:pt idx="2">
                        <c:v>13267</c:v>
                      </c:pt>
                      <c:pt idx="3">
                        <c:v>14997</c:v>
                      </c:pt>
                      <c:pt idx="4">
                        <c:v>20259</c:v>
                      </c:pt>
                      <c:pt idx="5">
                        <c:v>22431</c:v>
                      </c:pt>
                      <c:pt idx="6">
                        <c:v>26815</c:v>
                      </c:pt>
                      <c:pt idx="7">
                        <c:v>35524</c:v>
                      </c:pt>
                      <c:pt idx="8">
                        <c:v>39142</c:v>
                      </c:pt>
                      <c:pt idx="9">
                        <c:v>45514</c:v>
                      </c:pt>
                      <c:pt idx="10">
                        <c:v>48970</c:v>
                      </c:pt>
                      <c:pt idx="11">
                        <c:v>56448</c:v>
                      </c:pt>
                      <c:pt idx="12">
                        <c:v>61097</c:v>
                      </c:pt>
                      <c:pt idx="13">
                        <c:v>66928</c:v>
                      </c:pt>
                      <c:pt idx="14">
                        <c:v>68527</c:v>
                      </c:pt>
                      <c:pt idx="15">
                        <c:v>72222</c:v>
                      </c:pt>
                      <c:pt idx="16">
                        <c:v>73900</c:v>
                      </c:pt>
                      <c:pt idx="17">
                        <c:v>77390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762-438A-903B-7D30276F5BDD}"/>
                  </c:ext>
                </c:extLst>
              </c15:ser>
            </c15:filteredLineSeries>
          </c:ext>
        </c:extLst>
      </c:lineChart>
      <c:catAx>
        <c:axId val="17814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33728"/>
        <c:auto val="1"/>
        <c:lblAlgn val="ctr"/>
        <c:lblOffset val="100"/>
        <c:noMultiLvlLbl val="0"/>
      </c:catAx>
      <c:valAx>
        <c:axId val="1781433728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15968"/>
        <c:crossBetween val="between"/>
      </c:valAx>
      <c:valAx>
        <c:axId val="17814294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14528"/>
        <c:crosses val="max"/>
        <c:crossBetween val="between"/>
      </c:valAx>
      <c:catAx>
        <c:axId val="1781414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14294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6</xdr:row>
      <xdr:rowOff>57150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45350" y="1143000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7620</xdr:colOff>
      <xdr:row>16</xdr:row>
      <xdr:rowOff>163830</xdr:rowOff>
    </xdr:from>
    <xdr:to>
      <xdr:col>12</xdr:col>
      <xdr:colOff>487680</xdr:colOff>
      <xdr:row>32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653D62-B743-CF15-1EF6-BF3D02C4F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257261</xdr:colOff>
      <xdr:row>0</xdr:row>
      <xdr:rowOff>0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16654" y="0"/>
          <a:ext cx="3905250" cy="225742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226886</xdr:colOff>
      <xdr:row>13</xdr:row>
      <xdr:rowOff>152401</xdr:rowOff>
    </xdr:from>
    <xdr:to>
      <xdr:col>18</xdr:col>
      <xdr:colOff>333911</xdr:colOff>
      <xdr:row>33</xdr:row>
      <xdr:rowOff>25685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1D108B-AEF8-2A16-713F-F52AE56E4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topLeftCell="B7" workbookViewId="0">
      <selection activeCell="N25" sqref="N25"/>
    </sheetView>
  </sheetViews>
  <sheetFormatPr defaultColWidth="14.44140625" defaultRowHeight="15" customHeight="1"/>
  <cols>
    <col min="1" max="3" width="8.6640625" customWidth="1"/>
    <col min="4" max="4" width="11.6640625" customWidth="1"/>
    <col min="5" max="26" width="8.6640625" customWidth="1"/>
  </cols>
  <sheetData>
    <row r="1" spans="3:4" ht="14.25" customHeight="1"/>
    <row r="2" spans="3:4" ht="14.25" customHeight="1">
      <c r="C2" s="1" t="s">
        <v>0</v>
      </c>
    </row>
    <row r="3" spans="3:4" ht="14.25" customHeight="1">
      <c r="C3" s="1" t="s">
        <v>1</v>
      </c>
    </row>
    <row r="4" spans="3:4" ht="14.25" customHeight="1"/>
    <row r="5" spans="3:4" ht="14.25" customHeight="1">
      <c r="C5" s="14" t="s">
        <v>2</v>
      </c>
      <c r="D5" s="14" t="s">
        <v>3</v>
      </c>
    </row>
    <row r="6" spans="3:4" ht="14.25" customHeight="1">
      <c r="C6" s="5">
        <v>1990</v>
      </c>
      <c r="D6" s="15">
        <v>2156</v>
      </c>
    </row>
    <row r="7" spans="3:4" ht="14.25" customHeight="1">
      <c r="C7" s="5">
        <v>1991</v>
      </c>
      <c r="D7" s="15">
        <v>3562</v>
      </c>
    </row>
    <row r="8" spans="3:4" ht="14.25" customHeight="1">
      <c r="C8" s="5">
        <v>1992</v>
      </c>
      <c r="D8" s="15">
        <v>7506</v>
      </c>
    </row>
    <row r="9" spans="3:4" ht="14.25" customHeight="1">
      <c r="C9" s="5">
        <v>1993</v>
      </c>
      <c r="D9" s="15">
        <v>6258</v>
      </c>
    </row>
    <row r="10" spans="3:4" ht="14.25" customHeight="1">
      <c r="C10" s="5">
        <v>1994</v>
      </c>
      <c r="D10" s="15">
        <v>6279</v>
      </c>
    </row>
    <row r="11" spans="3:4" ht="14.25" customHeight="1">
      <c r="C11" s="5">
        <v>1995</v>
      </c>
      <c r="D11" s="15">
        <v>1963</v>
      </c>
    </row>
    <row r="12" spans="3:4" ht="14.25" customHeight="1">
      <c r="C12" s="5">
        <v>1996</v>
      </c>
      <c r="D12" s="15">
        <v>6736</v>
      </c>
    </row>
    <row r="13" spans="3:4" ht="14.25" customHeight="1">
      <c r="C13" s="5">
        <v>1997</v>
      </c>
      <c r="D13" s="15">
        <v>3280</v>
      </c>
    </row>
    <row r="14" spans="3:4" ht="14.25" customHeight="1">
      <c r="C14" s="5">
        <v>1998</v>
      </c>
      <c r="D14" s="15">
        <v>8398</v>
      </c>
    </row>
    <row r="15" spans="3:4" ht="14.25" customHeight="1">
      <c r="C15" s="5">
        <v>1999</v>
      </c>
      <c r="D15" s="15">
        <v>2882</v>
      </c>
    </row>
    <row r="16" spans="3:4" ht="14.25" customHeight="1">
      <c r="C16" s="5">
        <v>2000</v>
      </c>
      <c r="D16" s="15">
        <v>4686</v>
      </c>
    </row>
    <row r="17" spans="3:4" ht="14.25" customHeight="1">
      <c r="C17" s="5">
        <v>2001</v>
      </c>
      <c r="D17" s="15">
        <v>6976</v>
      </c>
    </row>
    <row r="18" spans="3:4" ht="14.25" customHeight="1">
      <c r="C18" s="5">
        <v>2002</v>
      </c>
      <c r="D18" s="15">
        <v>2173</v>
      </c>
    </row>
    <row r="19" spans="3:4" ht="14.25" customHeight="1">
      <c r="C19" s="5">
        <v>2003</v>
      </c>
      <c r="D19" s="15">
        <v>2166</v>
      </c>
    </row>
    <row r="20" spans="3:4" ht="14.25" customHeight="1">
      <c r="C20" s="10">
        <v>2004</v>
      </c>
      <c r="D20" s="16">
        <v>8418</v>
      </c>
    </row>
    <row r="21" spans="3:4" ht="14.25" customHeight="1"/>
    <row r="22" spans="3:4" ht="14.25" customHeight="1"/>
    <row r="23" spans="3:4" ht="14.25" customHeight="1"/>
    <row r="24" spans="3:4" ht="14.25" customHeight="1"/>
    <row r="25" spans="3:4" ht="14.25" customHeight="1"/>
    <row r="26" spans="3:4" ht="14.25" customHeight="1"/>
    <row r="27" spans="3:4" ht="14.25" customHeight="1"/>
    <row r="28" spans="3:4" ht="14.25" customHeight="1"/>
    <row r="29" spans="3:4" ht="14.25" customHeight="1"/>
    <row r="30" spans="3:4" ht="14.25" customHeight="1"/>
    <row r="31" spans="3:4" ht="14.25" customHeight="1"/>
    <row r="32" spans="3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abSelected="1" zoomScale="89" workbookViewId="0">
      <selection activeCell="J12" sqref="J12"/>
    </sheetView>
  </sheetViews>
  <sheetFormatPr defaultColWidth="14.44140625" defaultRowHeight="15" customHeight="1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/>
    <row r="2" spans="3:6" ht="14.25" customHeight="1">
      <c r="C2" s="1" t="s">
        <v>4</v>
      </c>
    </row>
    <row r="3" spans="3:6" ht="14.25" customHeight="1">
      <c r="C3" s="1" t="s">
        <v>1</v>
      </c>
    </row>
    <row r="4" spans="3:6" ht="14.25" customHeight="1"/>
    <row r="5" spans="3:6" ht="14.25" customHeight="1">
      <c r="C5" s="2" t="s">
        <v>2</v>
      </c>
      <c r="D5" s="3" t="s">
        <v>3</v>
      </c>
      <c r="E5" s="3" t="s">
        <v>5</v>
      </c>
      <c r="F5" s="4" t="s">
        <v>6</v>
      </c>
    </row>
    <row r="6" spans="3:6" ht="14.25" customHeight="1">
      <c r="C6" s="5">
        <v>2005</v>
      </c>
      <c r="D6" s="6">
        <v>528</v>
      </c>
      <c r="E6" s="7"/>
      <c r="F6" s="8"/>
    </row>
    <row r="7" spans="3:6" ht="14.25" customHeight="1">
      <c r="C7" s="5">
        <v>2006</v>
      </c>
      <c r="D7" s="6">
        <v>4550</v>
      </c>
      <c r="E7" s="9">
        <f>SUM($D$6:D7)</f>
        <v>5078</v>
      </c>
      <c r="F7" s="7">
        <f t="shared" ref="F7:F23" si="0">E7/$E$23</f>
        <v>6.5615712624370076E-2</v>
      </c>
    </row>
    <row r="8" spans="3:6" ht="14.25" customHeight="1">
      <c r="C8" s="5">
        <v>2007</v>
      </c>
      <c r="D8" s="6">
        <v>8189</v>
      </c>
      <c r="E8" s="9">
        <f>SUM($D$6:D8)</f>
        <v>13267</v>
      </c>
      <c r="F8" s="7">
        <f t="shared" si="0"/>
        <v>0.17143041736658482</v>
      </c>
    </row>
    <row r="9" spans="3:6" ht="14.25" customHeight="1">
      <c r="C9" s="5">
        <v>2008</v>
      </c>
      <c r="D9" s="6">
        <v>1730</v>
      </c>
      <c r="E9" s="9">
        <f>SUM($D$6:D9)</f>
        <v>14997</v>
      </c>
      <c r="F9" s="7">
        <f t="shared" si="0"/>
        <v>0.19378472670887711</v>
      </c>
    </row>
    <row r="10" spans="3:6" ht="14.25" customHeight="1">
      <c r="C10" s="5">
        <v>2009</v>
      </c>
      <c r="D10" s="6">
        <v>5262</v>
      </c>
      <c r="E10" s="9">
        <f>SUM($D$6:D10)</f>
        <v>20259</v>
      </c>
      <c r="F10" s="7">
        <f>E10/$E$23</f>
        <v>0.26177800749450836</v>
      </c>
    </row>
    <row r="11" spans="3:6" ht="14.25" customHeight="1">
      <c r="C11" s="5">
        <v>2010</v>
      </c>
      <c r="D11" s="6">
        <v>2172</v>
      </c>
      <c r="E11" s="9">
        <f>SUM($D$6:D11)</f>
        <v>22431</v>
      </c>
      <c r="F11" s="7">
        <f t="shared" si="0"/>
        <v>0.28984364905026488</v>
      </c>
    </row>
    <row r="12" spans="3:6" ht="14.25" customHeight="1">
      <c r="C12" s="5">
        <v>2011</v>
      </c>
      <c r="D12" s="6">
        <v>4384</v>
      </c>
      <c r="E12" s="9">
        <f>SUM($D$6:D12)</f>
        <v>26815</v>
      </c>
      <c r="F12" s="7">
        <f t="shared" si="0"/>
        <v>0.34649179480553044</v>
      </c>
    </row>
    <row r="13" spans="3:6" ht="14.25" customHeight="1">
      <c r="C13" s="5">
        <v>2012</v>
      </c>
      <c r="D13" s="6">
        <v>8709</v>
      </c>
      <c r="E13" s="9">
        <f>SUM($D$6:D13)</f>
        <v>35524</v>
      </c>
      <c r="F13" s="7">
        <f t="shared" si="0"/>
        <v>0.45902571391652669</v>
      </c>
    </row>
    <row r="14" spans="3:6" ht="14.25" customHeight="1">
      <c r="C14" s="5">
        <v>2013</v>
      </c>
      <c r="D14" s="6">
        <v>3618</v>
      </c>
      <c r="E14" s="9">
        <f>SUM($D$6:D14)</f>
        <v>39142</v>
      </c>
      <c r="F14" s="7">
        <f t="shared" si="0"/>
        <v>0.50577594004393334</v>
      </c>
    </row>
    <row r="15" spans="3:6" ht="14.25" customHeight="1">
      <c r="C15" s="5">
        <v>2014</v>
      </c>
      <c r="D15" s="6">
        <v>6372</v>
      </c>
      <c r="E15" s="9">
        <f>SUM($D$6:D15)</f>
        <v>45514</v>
      </c>
      <c r="F15" s="7">
        <f t="shared" si="0"/>
        <v>0.58811215919369431</v>
      </c>
    </row>
    <row r="16" spans="3:6" ht="14.25" customHeight="1">
      <c r="C16" s="5">
        <v>2015</v>
      </c>
      <c r="D16" s="6">
        <v>3456</v>
      </c>
      <c r="E16" s="9">
        <f>SUM($D$6:D16)</f>
        <v>48970</v>
      </c>
      <c r="F16" s="7">
        <f t="shared" si="0"/>
        <v>0.6327690916139036</v>
      </c>
    </row>
    <row r="17" spans="3:6" ht="14.25" customHeight="1">
      <c r="C17" s="5">
        <v>2016</v>
      </c>
      <c r="D17" s="6">
        <v>7478</v>
      </c>
      <c r="E17" s="9">
        <f>SUM($D$6:D17)</f>
        <v>56448</v>
      </c>
      <c r="F17" s="7">
        <f t="shared" si="0"/>
        <v>0.72939656286341903</v>
      </c>
    </row>
    <row r="18" spans="3:6" ht="14.25" customHeight="1">
      <c r="C18" s="5">
        <v>2017</v>
      </c>
      <c r="D18" s="6">
        <v>4649</v>
      </c>
      <c r="E18" s="9">
        <f>SUM($D$6:D18)</f>
        <v>61097</v>
      </c>
      <c r="F18" s="7">
        <f t="shared" si="0"/>
        <v>0.78946892363354437</v>
      </c>
    </row>
    <row r="19" spans="3:6" ht="14.25" customHeight="1">
      <c r="C19" s="5">
        <v>2018</v>
      </c>
      <c r="D19" s="6">
        <v>5831</v>
      </c>
      <c r="E19" s="9">
        <f>SUM($D$6:D19)</f>
        <v>66928</v>
      </c>
      <c r="F19" s="7">
        <f t="shared" si="0"/>
        <v>0.86481457552655383</v>
      </c>
    </row>
    <row r="20" spans="3:6" ht="14.25" customHeight="1">
      <c r="C20" s="5">
        <v>2019</v>
      </c>
      <c r="D20" s="6">
        <v>1599</v>
      </c>
      <c r="E20" s="9">
        <f>SUM($D$6:D20)</f>
        <v>68527</v>
      </c>
      <c r="F20" s="7">
        <f t="shared" si="0"/>
        <v>0.88547615971055693</v>
      </c>
    </row>
    <row r="21" spans="3:6" ht="14.25" customHeight="1">
      <c r="C21" s="5">
        <v>2020</v>
      </c>
      <c r="D21" s="6">
        <v>3695</v>
      </c>
      <c r="E21" s="9">
        <f>SUM($D$6:D21)</f>
        <v>72222</v>
      </c>
      <c r="F21" s="7">
        <f t="shared" si="0"/>
        <v>0.93322134642718702</v>
      </c>
    </row>
    <row r="22" spans="3:6" ht="14.25" customHeight="1">
      <c r="C22" s="5">
        <v>2021</v>
      </c>
      <c r="D22" s="6">
        <v>1678</v>
      </c>
      <c r="E22" s="9">
        <f>SUM($D$6:D22)</f>
        <v>73900</v>
      </c>
      <c r="F22" s="7">
        <f t="shared" si="0"/>
        <v>0.95490373433260112</v>
      </c>
    </row>
    <row r="23" spans="3:6" ht="14.25" customHeight="1">
      <c r="C23" s="10">
        <v>2022</v>
      </c>
      <c r="D23" s="11">
        <v>3490</v>
      </c>
      <c r="E23" s="9">
        <f>SUM($D$6:D23)</f>
        <v>77390</v>
      </c>
      <c r="F23" s="7">
        <f t="shared" si="0"/>
        <v>1</v>
      </c>
    </row>
    <row r="24" spans="3:6" ht="14.25" customHeight="1"/>
    <row r="25" spans="3:6" ht="14.25" customHeight="1">
      <c r="C25" s="12" t="s">
        <v>7</v>
      </c>
      <c r="D25" s="13">
        <f>SUM(D6:D23)</f>
        <v>77390</v>
      </c>
    </row>
    <row r="26" spans="3:6" ht="14.25" customHeight="1"/>
    <row r="27" spans="3:6" ht="14.25" customHeight="1"/>
    <row r="28" spans="3:6" ht="14.25" customHeight="1"/>
    <row r="29" spans="3:6" ht="14.25" customHeight="1"/>
    <row r="30" spans="3:6" ht="14.25" customHeight="1"/>
    <row r="31" spans="3:6" ht="14.25" customHeight="1"/>
    <row r="32" spans="3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belle kishor</cp:lastModifiedBy>
  <dcterms:created xsi:type="dcterms:W3CDTF">2022-07-29T06:27:00Z</dcterms:created>
  <dcterms:modified xsi:type="dcterms:W3CDTF">2025-08-11T07:58:45Z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D9422C9ABB1646DEB6192CEA83C330A1_13</vt:lpwstr>
  </property>
  <property fmtid="{D5CDD505-2E9C-101B-9397-08002B2CF9AE}" pid="3" name="KSOProductBuildVer">
    <vt:lpwstr>1033-12.2.0.21546</vt:lpwstr>
  </property>
</Properties>
</file>